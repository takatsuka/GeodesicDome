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cosahedron data" sheetId="2" state="visible" r:id="rId4"/>
    <sheet name="Other bases" sheetId="3" state="visible" r:id="rId5"/>
    <sheet name="Memory breakdown" sheetId="4" state="visible" r:id="rId6"/>
    <sheet name="API chang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<sst xmlns="http://schemas.openxmlformats.org/spreadsheetml/2006/main" count="173" uniqueCount="103">
  <si>
    <t xml:space="preserve">GeodesicDome optimisation — summary</t>
  </si>
  <si>
    <t xml:space="preserve">Icosahedron dome. Change the frequency in B4 (4, 8, 16, 32 or 64); every figure below updates from the data sheet.</t>
  </si>
  <si>
    <t xml:space="preserve">Frequency</t>
  </si>
  <si>
    <t xml:space="preserve">Metric</t>
  </si>
  <si>
    <t xml:space="preserve">Old repo</t>
  </si>
  <si>
    <t xml:space="preserve">Core</t>
  </si>
  <si>
    <t xml:space="preserve">New (arrays only)</t>
  </si>
  <si>
    <t xml:space="preserve">New (all vertex objects)</t>
  </si>
  <si>
    <t xml:space="preserve">Core ÷ New (arrays)</t>
  </si>
  <si>
    <t xml:space="preserve">Old ÷ New (arrays)</t>
  </si>
  <si>
    <t xml:space="preserve">Build (ms)</t>
  </si>
  <si>
    <t xml:space="preserve">Memory after build (MiB)</t>
  </si>
  <si>
    <t xml:space="preserve">Memory, all structures built (MiB)</t>
  </si>
  <si>
    <t xml:space="preserve">1 hop (ms)</t>
  </si>
  <si>
    <t xml:space="preserve">3 hops (ms)</t>
  </si>
  <si>
    <t xml:space="preserve">6 hops (ms)</t>
  </si>
  <si>
    <t xml:space="preserve">Whole sphere (ms)</t>
  </si>
  <si>
    <t xml:space="preserve">Ratios above 1.0x mean the new implementation is faster / smaller. Old repo and "all vertex objects" hop times use the vertex API (get_neighbours_in_distance); Core and New (arrays) use within_hops.</t>
  </si>
  <si>
    <t xml:space="preserve">Correctness</t>
  </si>
  <si>
    <t xml:space="preserve">Old vs new outputs compared</t>
  </si>
  <si>
    <t xml:space="preserve">44 cases: 3 bases + generic icosahedron net, f = 1–16, cumulative splits</t>
  </si>
  <si>
    <t xml:space="preserve">Coordinates, storage order, faces, seams, neighbour order, rings</t>
  </si>
  <si>
    <t xml:space="preserve">Bit-for-bit identical</t>
  </si>
  <si>
    <t xml:space="preserve">within_hops vs ring search</t>
  </si>
  <si>
    <t xml:space="preserve">2,905 random checks, all match</t>
  </si>
  <si>
    <t xml:space="preserve">GeodesicDome test suite</t>
  </si>
  <si>
    <t xml:space="preserve">80 passed</t>
  </si>
  <si>
    <t xml:space="preserve">GeoSOM test suite (using new dome)</t>
  </si>
  <si>
    <t xml:space="preserve">122 passed</t>
  </si>
  <si>
    <t xml:space="preserve">ruff lint</t>
  </si>
  <si>
    <t xml:space="preserve">All checks passed</t>
  </si>
  <si>
    <t xml:space="preserve">Icosahedron dome — raw benchmark measurements</t>
  </si>
  <si>
    <t xml:space="preserve">Measured on your computer (Linux VM, Python 3.10, NumPy 2.2.6). Build = median of 3; queries = median of 80 runs (20 for whole sphere). Memory = tracemalloc live allocation after construction.</t>
  </si>
  <si>
    <t xml:space="preserve">Implementation</t>
  </si>
  <si>
    <t xml:space="preserve">Whole sphere, 3f hops (ms)</t>
  </si>
  <si>
    <t xml:space="preserve">Query method</t>
  </si>
  <si>
    <t xml:space="preserve">get_neighbours_in_distance (+ reset visited flags)</t>
  </si>
  <si>
    <t xml:space="preserve">Core (geodesic_grid_core.py)</t>
  </si>
  <si>
    <t xml:space="preserve">within_hops</t>
  </si>
  <si>
    <t xml:space="preserve">New (with all vertex objects)</t>
  </si>
  <si>
    <t xml:space="preserve">Blue = measured values. "All structures built" adds the vertex objects, the object neighbour table and the hop index (old repo and core have nothing lazy).</t>
  </si>
  <si>
    <t xml:space="preserve">Tetrahedron and dodecahedron domes</t>
  </si>
  <si>
    <t xml:space="preserve">Build = median of 3 constructions; memory = tracemalloc live allocation after construction.</t>
  </si>
  <si>
    <t xml:space="preserve">Base</t>
  </si>
  <si>
    <t xml:space="preserve">Memory (MiB)</t>
  </si>
  <si>
    <t xml:space="preserve">Build speed-up vs core</t>
  </si>
  <si>
    <t xml:space="preserve">Memory vs core</t>
  </si>
  <si>
    <t xml:space="preserve">Tetrahedron</t>
  </si>
  <si>
    <t xml:space="preserve">Dodecahedron</t>
  </si>
  <si>
    <t xml:space="preserve">Memory vs core: share of the core's memory (below 100% = smaller).</t>
  </si>
  <si>
    <t xml:space="preserve">Where the memory goes — new icosahedron dome, f = 32</t>
  </si>
  <si>
    <t xml:space="preserve">Each structure is built only when first needed. Core uses 4.50 MiB with everything built at construction.</t>
  </si>
  <si>
    <t xml:space="preserve">Structure</t>
  </si>
  <si>
    <t xml:space="preserve">MiB</t>
  </si>
  <si>
    <t xml:space="preserve">Built when</t>
  </si>
  <si>
    <t xml:space="preserve">Core (MiB)</t>
  </si>
  <si>
    <t xml:space="preserve">Arrays (coordinates, index grid, faces, neighbours, seams)</t>
  </si>
  <si>
    <t xml:space="preserve">Construction</t>
  </si>
  <si>
    <t xml:space="preserve">Hop index</t>
  </si>
  <si>
    <t xml:space="preserve">First within_hops / neighbour_ids call</t>
  </si>
  <si>
    <t xml:space="preserve">Vertex objects</t>
  </si>
  <si>
    <t xml:space="preserve">First vertices / get_all_vertices / get_vertex_at call</t>
  </si>
  <si>
    <t xml:space="preserve">Object neighbour table</t>
  </si>
  <si>
    <t xml:space="preserve">First get_neighbours / get_neighbours_in_distance call</t>
  </si>
  <si>
    <t xml:space="preserve">Usage scenario</t>
  </si>
  <si>
    <t xml:space="preserve">vs core</t>
  </si>
  <si>
    <t xml:space="preserve">Arrays only (GeoSOM / DomeArrays path)</t>
  </si>
  <si>
    <t xml:space="preserve">Index API (within_hops)</t>
  </si>
  <si>
    <t xml:space="preserve">Old vertex API</t>
  </si>
  <si>
    <t xml:space="preserve">Both APIs on one dome</t>
  </si>
  <si>
    <t xml:space="preserve">Only "both APIs on one dome" exceeds the core.</t>
  </si>
  <si>
    <t xml:space="preserve">What changed for users of GeodesicDome</t>
  </si>
  <si>
    <t xml:space="preserve">Files changed: src/mt/geodesicdome/grid/geodesicdome.py, src/mt/geodesicdome/vertex.py, CHANGELOG.md (not committed).</t>
  </si>
  <si>
    <t xml:space="preserve">Kind</t>
  </si>
  <si>
    <t xml:space="preserve">Item</t>
  </si>
  <si>
    <t xml:space="preserve">Detail</t>
  </si>
  <si>
    <t xml:space="preserve">New</t>
  </si>
  <si>
    <t xml:space="preserve">within_hops(i, hops)</t>
  </si>
  <si>
    <t xml:space="preserve">Positions within a number of grid steps; no vertex objects or visited flags needed</t>
  </si>
  <si>
    <t xml:space="preserve">neighbour_ids(i)</t>
  </si>
  <si>
    <t xml:space="preserve">Direct neighbours of position i, seams included</t>
  </si>
  <si>
    <t xml:space="preserve">within_arc(i, angle)</t>
  </si>
  <si>
    <t xml:space="preserve">Positions within a great-circle angle (radians)</t>
  </si>
  <si>
    <t xml:space="preserve">n_points, point_index</t>
  </si>
  <si>
    <t xml:space="preserve">Number of distinct sphere points; which point each stored position is</t>
  </si>
  <si>
    <t xml:space="preserve">Changed</t>
  </si>
  <si>
    <t xml:space="preserve">Created only when first asked for (vertices, get_all_vertices, get_vertex_at, get_neighbours, ...)</t>
  </si>
  <si>
    <t xml:space="preserve">__slots__</t>
  </si>
  <si>
    <t xml:space="preserve">Vertex and GeodesicVertex use slots; other attributes can still be added</t>
  </si>
  <si>
    <t xml:space="preserve">vertex.coord</t>
  </si>
  <si>
    <t xml:space="preserve">A view of the dome's coordinate array; writing to it updates the dome</t>
  </si>
  <si>
    <t xml:space="preserve">vertex.latlon_coord</t>
  </si>
  <si>
    <t xml:space="preserve">Computed the first time it is read</t>
  </si>
  <si>
    <t xml:space="preserve">vertex.id, vertex.manifold</t>
  </si>
  <si>
    <t xml:space="preserve">id set when the vertex is created; manifold is the dome</t>
  </si>
  <si>
    <t xml:space="preserve">IcosahedronDome.split()</t>
  </si>
  <si>
    <t xml:space="preserve">Creates new vertex objects (as tetra/dodeca already did); rejects non-integer factors</t>
  </si>
  <si>
    <t xml:space="preserve">Removed</t>
  </si>
  <si>
    <t xml:space="preserve">vertex.vertices, vertex.triangles</t>
  </si>
  <si>
    <t xml:space="preserve">Unused per-vertex empty lists</t>
  </si>
  <si>
    <t xml:space="preserve">Unchanged</t>
  </si>
  <si>
    <t xml:space="preserve">Outputs</t>
  </si>
  <si>
    <t xml:space="preserve">Coordinates, storage order, faces, seams, neighbour order and rings are bit-for-bit identical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</si>
</sst>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\x"/>
    <numFmt numFmtId="167" formatCode="0.000"/>
    <numFmt numFmtId="168" formatCode="0.0000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32</v>
      </c>
    </row>
    <row r="6" customFormat="false" ht="31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customFormat="false" ht="15" hidden="false" customHeight="false" outlineLevel="0" collapsed="false">
      <c r="A7" s="6" t="s">
        <v>10</v>
      </c>
      <c r="B7" s="7" t="n">
        <f aca="false">SUMIFS('Icosahedron data'!$C$5:$C$24,'Icosahedron data'!$A$5:$A$24,"Old repo",'Icosahedron data'!$B$5:$B$24,$B$4)</f>
        <v>170.03</v>
      </c>
      <c r="C7" s="7" t="n">
        <f aca="false">SUMIFS('Icosahedron data'!$C$5:$C$24,'Icosahedron data'!$A$5:$A$24,"Core (geodesic_grid_core.py)",'Icosahedron data'!$B$5:$B$24,$B$4)</f>
        <v>39.24</v>
      </c>
      <c r="D7" s="7" t="n">
        <f aca="false">SUMIFS('Icosahedron data'!$C$5:$C$24,'Icosahedron data'!$A$5:$A$24,"New (arrays only)",'Icosahedron data'!$B$5:$B$24,$B$4)</f>
        <v>3.13</v>
      </c>
      <c r="E7" s="7" t="n">
        <f aca="false">SUMIFS('Icosahedron data'!$C$5:$C$24,'Icosahedron data'!$A$5:$A$24,"New (with all vertex objects)",'Icosahedron data'!$B$5:$B$24,$B$4)</f>
        <v>7.87</v>
      </c>
      <c r="F7" s="8" t="n">
        <f aca="false">IFERROR(C7/D7,"")</f>
        <v>12.5367412140575</v>
      </c>
      <c r="G7" s="8" t="n">
        <f aca="false">IFERROR(B7/D7,"")</f>
        <v>54.3226837060703</v>
      </c>
    </row>
    <row r="8" customFormat="false" ht="15" hidden="false" customHeight="false" outlineLevel="0" collapsed="false">
      <c r="A8" s="6" t="s">
        <v>11</v>
      </c>
      <c r="B8" s="7" t="n">
        <f aca="false">SUMIFS('Icosahedron data'!$D$5:$D$24,'Icosahedron data'!$A$5:$A$24,"Old repo",'Icosahedron data'!$B$5:$B$24,$B$4)</f>
        <v>7.43</v>
      </c>
      <c r="C8" s="7" t="n">
        <f aca="false">SUMIFS('Icosahedron data'!$D$5:$D$24,'Icosahedron data'!$A$5:$A$24,"Core (geodesic_grid_core.py)",'Icosahedron data'!$B$5:$B$24,$B$4)</f>
        <v>4.5</v>
      </c>
      <c r="D8" s="7" t="n">
        <f aca="false">SUMIFS('Icosahedron data'!$D$5:$D$24,'Icosahedron data'!$A$5:$A$24,"New (arrays only)",'Icosahedron data'!$B$5:$B$24,$B$4)</f>
        <v>1.21</v>
      </c>
      <c r="E8" s="7" t="n">
        <f aca="false">SUMIFS('Icosahedron data'!$D$5:$D$24,'Icosahedron data'!$A$5:$A$24,"New (with all vertex objects)",'Icosahedron data'!$B$5:$B$24,$B$4)</f>
        <v>3.32</v>
      </c>
      <c r="F8" s="8" t="n">
        <f aca="false">IFERROR(C8/D8,"")</f>
        <v>3.71900826446281</v>
      </c>
      <c r="G8" s="8" t="n">
        <f aca="false">IFERROR(B8/D8,"")</f>
        <v>6.1404958677686</v>
      </c>
    </row>
    <row r="9" customFormat="false" ht="15" hidden="false" customHeight="false" outlineLevel="0" collapsed="false">
      <c r="A9" s="6" t="s">
        <v>12</v>
      </c>
      <c r="B9" s="7" t="n">
        <f aca="false">SUMIFS('Icosahedron data'!$E$5:$E$24,'Icosahedron data'!$A$5:$A$24,"Old repo",'Icosahedron data'!$B$5:$B$24,$B$4)</f>
        <v>7.43</v>
      </c>
      <c r="C9" s="7" t="n">
        <f aca="false">SUMIFS('Icosahedron data'!$E$5:$E$24,'Icosahedron data'!$A$5:$A$24,"Core (geodesic_grid_core.py)",'Icosahedron data'!$B$5:$B$24,$B$4)</f>
        <v>4.5</v>
      </c>
      <c r="D9" s="7" t="n">
        <f aca="false">SUMIFS('Icosahedron data'!$E$5:$E$24,'Icosahedron data'!$A$5:$A$24,"New (arrays only)",'Icosahedron data'!$B$5:$B$24,$B$4)</f>
        <v>5.65</v>
      </c>
      <c r="E9" s="7" t="n">
        <f aca="false">SUMIFS('Icosahedron data'!$E$5:$E$24,'Icosahedron data'!$A$5:$A$24,"New (with all vertex objects)",'Icosahedron data'!$B$5:$B$24,$B$4)</f>
        <v>5.65</v>
      </c>
      <c r="F9" s="8" t="n">
        <f aca="false">IFERROR(C9/D9,"")</f>
        <v>0.79646017699115</v>
      </c>
      <c r="G9" s="8" t="n">
        <f aca="false">IFERROR(B9/D9,"")</f>
        <v>1.31504424778761</v>
      </c>
    </row>
    <row r="10" customFormat="false" ht="15" hidden="false" customHeight="false" outlineLevel="0" collapsed="false">
      <c r="A10" s="6" t="s">
        <v>13</v>
      </c>
      <c r="B10" s="9" t="n">
        <f aca="false">SUMIFS('Icosahedron data'!$F$5:$F$24,'Icosahedron data'!$A$5:$A$24,"Old repo",'Icosahedron data'!$B$5:$B$24,$B$4)</f>
        <v>0.0013</v>
      </c>
      <c r="C10" s="9" t="n">
        <f aca="false">SUMIFS('Icosahedron data'!$F$5:$F$24,'Icosahedron data'!$A$5:$A$24,"Core (geodesic_grid_core.py)",'Icosahedron data'!$B$5:$B$24,$B$4)</f>
        <v>0.0012</v>
      </c>
      <c r="D10" s="9" t="n">
        <f aca="false">SUMIFS('Icosahedron data'!$F$5:$F$24,'Icosahedron data'!$A$5:$A$24,"New (arrays only)",'Icosahedron data'!$B$5:$B$24,$B$4)</f>
        <v>0.0007</v>
      </c>
      <c r="E10" s="9" t="n">
        <f aca="false">SUMIFS('Icosahedron data'!$F$5:$F$24,'Icosahedron data'!$A$5:$A$24,"New (with all vertex objects)",'Icosahedron data'!$B$5:$B$24,$B$4)</f>
        <v>0.0012</v>
      </c>
      <c r="F10" s="8" t="n">
        <f aca="false">IFERROR(C10/D10,"")</f>
        <v>1.71428571428571</v>
      </c>
      <c r="G10" s="8" t="n">
        <f aca="false">IFERROR(B10/D10,"")</f>
        <v>1.85714285714286</v>
      </c>
    </row>
    <row r="11" customFormat="false" ht="15" hidden="false" customHeight="false" outlineLevel="0" collapsed="false">
      <c r="A11" s="6" t="s">
        <v>14</v>
      </c>
      <c r="B11" s="9" t="n">
        <f aca="false">SUMIFS('Icosahedron data'!$G$5:$G$24,'Icosahedron data'!$A$5:$A$24,"Old repo",'Icosahedron data'!$B$5:$B$24,$B$4)</f>
        <v>0.0129</v>
      </c>
      <c r="C11" s="9" t="n">
        <f aca="false">SUMIFS('Icosahedron data'!$G$5:$G$24,'Icosahedron data'!$A$5:$A$24,"Core (geodesic_grid_core.py)",'Icosahedron data'!$B$5:$B$24,$B$4)</f>
        <v>0.0058</v>
      </c>
      <c r="D11" s="9" t="n">
        <f aca="false">SUMIFS('Icosahedron data'!$G$5:$G$24,'Icosahedron data'!$A$5:$A$24,"New (arrays only)",'Icosahedron data'!$B$5:$B$24,$B$4)</f>
        <v>0.0032</v>
      </c>
      <c r="E11" s="9" t="n">
        <f aca="false">SUMIFS('Icosahedron data'!$G$5:$G$24,'Icosahedron data'!$A$5:$A$24,"New (with all vertex objects)",'Icosahedron data'!$B$5:$B$24,$B$4)</f>
        <v>0.0045</v>
      </c>
      <c r="F11" s="8" t="n">
        <f aca="false">IFERROR(C11/D11,"")</f>
        <v>1.8125</v>
      </c>
      <c r="G11" s="8" t="n">
        <f aca="false">IFERROR(B11/D11,"")</f>
        <v>4.03125</v>
      </c>
    </row>
    <row r="12" customFormat="false" ht="15" hidden="false" customHeight="false" outlineLevel="0" collapsed="false">
      <c r="A12" s="6" t="s">
        <v>15</v>
      </c>
      <c r="B12" s="9" t="n">
        <f aca="false">SUMIFS('Icosahedron data'!$H$5:$H$24,'Icosahedron data'!$A$5:$A$24,"Old repo",'Icosahedron data'!$B$5:$B$24,$B$4)</f>
        <v>0.0567</v>
      </c>
      <c r="C12" s="9" t="n">
        <f aca="false">SUMIFS('Icosahedron data'!$H$5:$H$24,'Icosahedron data'!$A$5:$A$24,"Core (geodesic_grid_core.py)",'Icosahedron data'!$B$5:$B$24,$B$4)</f>
        <v>0.0214</v>
      </c>
      <c r="D12" s="9" t="n">
        <f aca="false">SUMIFS('Icosahedron data'!$H$5:$H$24,'Icosahedron data'!$A$5:$A$24,"New (arrays only)",'Icosahedron data'!$B$5:$B$24,$B$4)</f>
        <v>0.0121</v>
      </c>
      <c r="E12" s="9" t="n">
        <f aca="false">SUMIFS('Icosahedron data'!$H$5:$H$24,'Icosahedron data'!$A$5:$A$24,"New (with all vertex objects)",'Icosahedron data'!$B$5:$B$24,$B$4)</f>
        <v>0.0166</v>
      </c>
      <c r="F12" s="8" t="n">
        <f aca="false">IFERROR(C12/D12,"")</f>
        <v>1.76859504132231</v>
      </c>
      <c r="G12" s="8" t="n">
        <f aca="false">IFERROR(B12/D12,"")</f>
        <v>4.68595041322314</v>
      </c>
    </row>
    <row r="13" customFormat="false" ht="15" hidden="false" customHeight="false" outlineLevel="0" collapsed="false">
      <c r="A13" s="6" t="s">
        <v>16</v>
      </c>
      <c r="B13" s="9" t="n">
        <f aca="false">SUMIFS('Icosahedron data'!$I$5:$I$24,'Icosahedron data'!$A$5:$A$24,"Old repo",'Icosahedron data'!$B$5:$B$24,$B$4)</f>
        <v>8.14</v>
      </c>
      <c r="C13" s="9" t="n">
        <f aca="false">SUMIFS('Icosahedron data'!$I$5:$I$24,'Icosahedron data'!$A$5:$A$24,"Core (geodesic_grid_core.py)",'Icosahedron data'!$B$5:$B$24,$B$4)</f>
        <v>2.055</v>
      </c>
      <c r="D13" s="9" t="n">
        <f aca="false">SUMIFS('Icosahedron data'!$I$5:$I$24,'Icosahedron data'!$A$5:$A$24,"New (arrays only)",'Icosahedron data'!$B$5:$B$24,$B$4)</f>
        <v>1.184</v>
      </c>
      <c r="E13" s="9" t="n">
        <f aca="false">SUMIFS('Icosahedron data'!$I$5:$I$24,'Icosahedron data'!$A$5:$A$24,"New (with all vertex objects)",'Icosahedron data'!$B$5:$B$24,$B$4)</f>
        <v>1.61</v>
      </c>
      <c r="F13" s="8" t="n">
        <f aca="false">IFERROR(C13/D13,"")</f>
        <v>1.73564189189189</v>
      </c>
      <c r="G13" s="8" t="n">
        <f aca="false">IFERROR(B13/D13,"")</f>
        <v>6.875</v>
      </c>
    </row>
    <row r="15" customFormat="false" ht="15" hidden="false" customHeight="true" outlineLevel="0" collapsed="false">
      <c r="A15" s="10" t="s">
        <v>17</v>
      </c>
      <c r="B15" s="10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</row>
    <row r="18" customFormat="false" ht="15" hidden="false" customHeight="false" outlineLevel="0" collapsed="false">
      <c r="A18" s="11" t="s">
        <v>18</v>
      </c>
    </row>
    <row r="19" customFormat="false" ht="15" hidden="false" customHeight="false" outlineLevel="0" collapsed="false">
      <c r="A19" s="12" t="s">
        <v>19</v>
      </c>
      <c r="B19" s="13" t="s">
        <v>20</v>
      </c>
      <c r="C19" s="13"/>
      <c r="D19" s="13"/>
      <c r="E19" s="13"/>
      <c r="F19" s="13"/>
      <c r="G19" s="13"/>
    </row>
    <row r="20" customFormat="false" ht="15" hidden="false" customHeight="false" outlineLevel="0" collapsed="false">
      <c r="A20" s="12" t="s">
        <v>21</v>
      </c>
      <c r="B20" s="13" t="s">
        <v>22</v>
      </c>
      <c r="C20" s="13"/>
      <c r="D20" s="13"/>
      <c r="E20" s="13"/>
      <c r="F20" s="13"/>
      <c r="G20" s="13"/>
    </row>
    <row r="21" customFormat="false" ht="15" hidden="false" customHeight="false" outlineLevel="0" collapsed="false">
      <c r="A21" s="12" t="s">
        <v>23</v>
      </c>
      <c r="B21" s="13" t="s">
        <v>24</v>
      </c>
      <c r="C21" s="13"/>
      <c r="D21" s="13"/>
      <c r="E21" s="13"/>
      <c r="F21" s="13"/>
      <c r="G21" s="13"/>
    </row>
    <row r="22" customFormat="false" ht="15" hidden="false" customHeight="false" outlineLevel="0" collapsed="false">
      <c r="A22" s="12" t="s">
        <v>25</v>
      </c>
      <c r="B22" s="13" t="s">
        <v>26</v>
      </c>
      <c r="C22" s="13"/>
      <c r="D22" s="13"/>
      <c r="E22" s="13"/>
      <c r="F22" s="13"/>
      <c r="G22" s="13"/>
    </row>
    <row r="23" customFormat="false" ht="15" hidden="false" customHeight="false" outlineLevel="0" collapsed="false">
      <c r="A23" s="12" t="s">
        <v>27</v>
      </c>
      <c r="B23" s="13" t="s">
        <v>28</v>
      </c>
      <c r="C23" s="13"/>
      <c r="D23" s="13"/>
      <c r="E23" s="13"/>
      <c r="F23" s="13"/>
      <c r="G23" s="13"/>
    </row>
    <row r="24" customFormat="false" ht="15" hidden="false" customHeight="false" outlineLevel="0" collapsed="false">
      <c r="A24" s="12" t="s">
        <v>29</v>
      </c>
      <c r="B24" s="13" t="s">
        <v>30</v>
      </c>
      <c r="C24" s="13"/>
      <c r="D24" s="13"/>
      <c r="E24" s="13"/>
      <c r="F24" s="13"/>
      <c r="G24" s="13"/>
    </row>
  </sheetData>
  <mergeCells count="7">
    <mergeCell ref="A15:G16"/>
    <mergeCell ref="B19:G19"/>
    <mergeCell ref="B20:G20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1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39.55" hidden="false" customHeight="false" outlineLevel="0" collapsed="false">
      <c r="A4" s="5" t="s">
        <v>33</v>
      </c>
      <c r="B4" s="5" t="s">
        <v>2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34</v>
      </c>
      <c r="J4" s="5" t="s">
        <v>35</v>
      </c>
    </row>
    <row r="5" customFormat="false" ht="15" hidden="false" customHeight="false" outlineLevel="0" collapsed="false">
      <c r="A5" s="14" t="s">
        <v>4</v>
      </c>
      <c r="B5" s="14" t="n">
        <v>4</v>
      </c>
      <c r="C5" s="15" t="n">
        <v>3.9</v>
      </c>
      <c r="D5" s="15" t="n">
        <v>0.18</v>
      </c>
      <c r="E5" s="15" t="n">
        <v>0.18</v>
      </c>
      <c r="F5" s="16" t="n">
        <v>0.0015</v>
      </c>
      <c r="G5" s="16" t="n">
        <v>0.0154</v>
      </c>
      <c r="H5" s="16" t="n">
        <v>0.0591</v>
      </c>
      <c r="I5" s="17" t="n">
        <v>0.131</v>
      </c>
      <c r="J5" s="14" t="s">
        <v>36</v>
      </c>
    </row>
    <row r="6" customFormat="false" ht="15" hidden="false" customHeight="false" outlineLevel="0" collapsed="false">
      <c r="A6" s="14" t="s">
        <v>4</v>
      </c>
      <c r="B6" s="14" t="n">
        <v>8</v>
      </c>
      <c r="C6" s="15" t="n">
        <v>13.39</v>
      </c>
      <c r="D6" s="15" t="n">
        <v>0.55</v>
      </c>
      <c r="E6" s="15" t="n">
        <v>0.56</v>
      </c>
      <c r="F6" s="16" t="n">
        <v>0.0014</v>
      </c>
      <c r="G6" s="16" t="n">
        <v>0.0132</v>
      </c>
      <c r="H6" s="16" t="n">
        <v>0.0575</v>
      </c>
      <c r="I6" s="17" t="n">
        <v>0.48</v>
      </c>
      <c r="J6" s="14" t="s">
        <v>36</v>
      </c>
    </row>
    <row r="7" customFormat="false" ht="15" hidden="false" customHeight="false" outlineLevel="0" collapsed="false">
      <c r="A7" s="14" t="s">
        <v>4</v>
      </c>
      <c r="B7" s="14" t="n">
        <v>16</v>
      </c>
      <c r="C7" s="15" t="n">
        <v>46.7</v>
      </c>
      <c r="D7" s="15" t="n">
        <v>1.97</v>
      </c>
      <c r="E7" s="15" t="n">
        <v>1.96</v>
      </c>
      <c r="F7" s="16" t="n">
        <v>0.0014</v>
      </c>
      <c r="G7" s="16" t="n">
        <v>0.0132</v>
      </c>
      <c r="H7" s="16" t="n">
        <v>0.0575</v>
      </c>
      <c r="I7" s="17" t="n">
        <v>1.812</v>
      </c>
      <c r="J7" s="14" t="s">
        <v>36</v>
      </c>
    </row>
    <row r="8" customFormat="false" ht="15" hidden="false" customHeight="false" outlineLevel="0" collapsed="false">
      <c r="A8" s="14" t="s">
        <v>4</v>
      </c>
      <c r="B8" s="14" t="n">
        <v>32</v>
      </c>
      <c r="C8" s="15" t="n">
        <v>170.03</v>
      </c>
      <c r="D8" s="15" t="n">
        <v>7.43</v>
      </c>
      <c r="E8" s="15" t="n">
        <v>7.43</v>
      </c>
      <c r="F8" s="16" t="n">
        <v>0.0013</v>
      </c>
      <c r="G8" s="16" t="n">
        <v>0.0129</v>
      </c>
      <c r="H8" s="16" t="n">
        <v>0.0567</v>
      </c>
      <c r="I8" s="17" t="n">
        <v>8.14</v>
      </c>
      <c r="J8" s="14" t="s">
        <v>36</v>
      </c>
    </row>
    <row r="9" customFormat="false" ht="15" hidden="false" customHeight="false" outlineLevel="0" collapsed="false">
      <c r="A9" s="14" t="s">
        <v>4</v>
      </c>
      <c r="B9" s="14" t="n">
        <v>64</v>
      </c>
      <c r="C9" s="15" t="n">
        <v>743.82</v>
      </c>
      <c r="D9" s="15" t="n">
        <v>29.63</v>
      </c>
      <c r="E9" s="15" t="n">
        <v>29.63</v>
      </c>
      <c r="F9" s="16" t="n">
        <v>0.0013</v>
      </c>
      <c r="G9" s="16" t="n">
        <v>0.0134</v>
      </c>
      <c r="H9" s="16" t="n">
        <v>0.0592</v>
      </c>
      <c r="I9" s="17" t="n">
        <v>35.952</v>
      </c>
      <c r="J9" s="14" t="s">
        <v>36</v>
      </c>
    </row>
    <row r="10" customFormat="false" ht="15" hidden="false" customHeight="false" outlineLevel="0" collapsed="false">
      <c r="A10" s="14" t="s">
        <v>37</v>
      </c>
      <c r="B10" s="14" t="n">
        <v>4</v>
      </c>
      <c r="C10" s="15" t="n">
        <v>0.88</v>
      </c>
      <c r="D10" s="15" t="n">
        <v>0.09</v>
      </c>
      <c r="E10" s="15" t="n">
        <v>0.09</v>
      </c>
      <c r="F10" s="16" t="n">
        <v>0.0013</v>
      </c>
      <c r="G10" s="16" t="n">
        <v>0.0058</v>
      </c>
      <c r="H10" s="16" t="n">
        <v>0.0181</v>
      </c>
      <c r="I10" s="17" t="n">
        <v>0.034</v>
      </c>
      <c r="J10" s="14" t="s">
        <v>38</v>
      </c>
    </row>
    <row r="11" customFormat="false" ht="15" hidden="false" customHeight="false" outlineLevel="0" collapsed="false">
      <c r="A11" s="14" t="s">
        <v>37</v>
      </c>
      <c r="B11" s="14" t="n">
        <v>8</v>
      </c>
      <c r="C11" s="15" t="n">
        <v>2.79</v>
      </c>
      <c r="D11" s="15" t="n">
        <v>0.31</v>
      </c>
      <c r="E11" s="15" t="n">
        <v>0.31</v>
      </c>
      <c r="F11" s="16" t="n">
        <v>0.0012</v>
      </c>
      <c r="G11" s="16" t="n">
        <v>0.0058</v>
      </c>
      <c r="H11" s="16" t="n">
        <v>0.0206</v>
      </c>
      <c r="I11" s="17" t="n">
        <v>0.131</v>
      </c>
      <c r="J11" s="14" t="s">
        <v>38</v>
      </c>
    </row>
    <row r="12" customFormat="false" ht="15" hidden="false" customHeight="false" outlineLevel="0" collapsed="false">
      <c r="A12" s="14" t="s">
        <v>37</v>
      </c>
      <c r="B12" s="14" t="n">
        <v>16</v>
      </c>
      <c r="C12" s="15" t="n">
        <v>9.97</v>
      </c>
      <c r="D12" s="15" t="n">
        <v>1.17</v>
      </c>
      <c r="E12" s="15" t="n">
        <v>1.17</v>
      </c>
      <c r="F12" s="16" t="n">
        <v>0.0012</v>
      </c>
      <c r="G12" s="16" t="n">
        <v>0.0058</v>
      </c>
      <c r="H12" s="16" t="n">
        <v>0.0212</v>
      </c>
      <c r="I12" s="17" t="n">
        <v>0.533</v>
      </c>
      <c r="J12" s="14" t="s">
        <v>38</v>
      </c>
    </row>
    <row r="13" customFormat="false" ht="15" hidden="false" customHeight="false" outlineLevel="0" collapsed="false">
      <c r="A13" s="14" t="s">
        <v>37</v>
      </c>
      <c r="B13" s="14" t="n">
        <v>32</v>
      </c>
      <c r="C13" s="15" t="n">
        <v>39.24</v>
      </c>
      <c r="D13" s="15" t="n">
        <v>4.5</v>
      </c>
      <c r="E13" s="15" t="n">
        <v>4.5</v>
      </c>
      <c r="F13" s="16" t="n">
        <v>0.0012</v>
      </c>
      <c r="G13" s="16" t="n">
        <v>0.0058</v>
      </c>
      <c r="H13" s="16" t="n">
        <v>0.0214</v>
      </c>
      <c r="I13" s="17" t="n">
        <v>2.055</v>
      </c>
      <c r="J13" s="14" t="s">
        <v>38</v>
      </c>
    </row>
    <row r="14" customFormat="false" ht="15" hidden="false" customHeight="false" outlineLevel="0" collapsed="false">
      <c r="A14" s="14" t="s">
        <v>37</v>
      </c>
      <c r="B14" s="14" t="n">
        <v>64</v>
      </c>
      <c r="C14" s="15" t="n">
        <v>157.15</v>
      </c>
      <c r="D14" s="15" t="n">
        <v>18.26</v>
      </c>
      <c r="E14" s="15" t="n">
        <v>18.26</v>
      </c>
      <c r="F14" s="16" t="n">
        <v>0.0011</v>
      </c>
      <c r="G14" s="16" t="n">
        <v>0.0057</v>
      </c>
      <c r="H14" s="16" t="n">
        <v>0.0209</v>
      </c>
      <c r="I14" s="17" t="n">
        <v>10.417</v>
      </c>
      <c r="J14" s="14" t="s">
        <v>38</v>
      </c>
    </row>
    <row r="15" customFormat="false" ht="15" hidden="false" customHeight="false" outlineLevel="0" collapsed="false">
      <c r="A15" s="14" t="s">
        <v>6</v>
      </c>
      <c r="B15" s="14" t="n">
        <v>4</v>
      </c>
      <c r="C15" s="15" t="n">
        <v>0.45</v>
      </c>
      <c r="D15" s="15" t="n">
        <v>0.05</v>
      </c>
      <c r="E15" s="15" t="n">
        <v>0.14</v>
      </c>
      <c r="F15" s="16" t="n">
        <v>0.0007</v>
      </c>
      <c r="G15" s="16" t="n">
        <v>0.0032</v>
      </c>
      <c r="H15" s="16" t="n">
        <v>0.0104</v>
      </c>
      <c r="I15" s="17" t="n">
        <v>0.02</v>
      </c>
      <c r="J15" s="14" t="s">
        <v>38</v>
      </c>
    </row>
    <row r="16" customFormat="false" ht="15" hidden="false" customHeight="false" outlineLevel="0" collapsed="false">
      <c r="A16" s="14" t="s">
        <v>6</v>
      </c>
      <c r="B16" s="14" t="n">
        <v>8</v>
      </c>
      <c r="C16" s="15" t="n">
        <v>0.63</v>
      </c>
      <c r="D16" s="15" t="n">
        <v>0.12</v>
      </c>
      <c r="E16" s="15" t="n">
        <v>0.42</v>
      </c>
      <c r="F16" s="16" t="n">
        <v>0.0007</v>
      </c>
      <c r="G16" s="16" t="n">
        <v>0.0032</v>
      </c>
      <c r="H16" s="16" t="n">
        <v>0.0116</v>
      </c>
      <c r="I16" s="17" t="n">
        <v>0.08</v>
      </c>
      <c r="J16" s="14" t="s">
        <v>38</v>
      </c>
    </row>
    <row r="17" customFormat="false" ht="15" hidden="false" customHeight="false" outlineLevel="0" collapsed="false">
      <c r="A17" s="14" t="s">
        <v>6</v>
      </c>
      <c r="B17" s="14" t="n">
        <v>16</v>
      </c>
      <c r="C17" s="15" t="n">
        <v>1.15</v>
      </c>
      <c r="D17" s="15" t="n">
        <v>0.37</v>
      </c>
      <c r="E17" s="15" t="n">
        <v>1.52</v>
      </c>
      <c r="F17" s="16" t="n">
        <v>0.0007</v>
      </c>
      <c r="G17" s="16" t="n">
        <v>0.0032</v>
      </c>
      <c r="H17" s="16" t="n">
        <v>0.0121</v>
      </c>
      <c r="I17" s="17" t="n">
        <v>0.3</v>
      </c>
      <c r="J17" s="14" t="s">
        <v>38</v>
      </c>
    </row>
    <row r="18" customFormat="false" ht="15" hidden="false" customHeight="false" outlineLevel="0" collapsed="false">
      <c r="A18" s="14" t="s">
        <v>6</v>
      </c>
      <c r="B18" s="14" t="n">
        <v>32</v>
      </c>
      <c r="C18" s="15" t="n">
        <v>3.13</v>
      </c>
      <c r="D18" s="15" t="n">
        <v>1.21</v>
      </c>
      <c r="E18" s="15" t="n">
        <v>5.65</v>
      </c>
      <c r="F18" s="16" t="n">
        <v>0.0007</v>
      </c>
      <c r="G18" s="16" t="n">
        <v>0.0032</v>
      </c>
      <c r="H18" s="16" t="n">
        <v>0.0121</v>
      </c>
      <c r="I18" s="17" t="n">
        <v>1.184</v>
      </c>
      <c r="J18" s="14" t="s">
        <v>38</v>
      </c>
    </row>
    <row r="19" customFormat="false" ht="15" hidden="false" customHeight="false" outlineLevel="0" collapsed="false">
      <c r="A19" s="14" t="s">
        <v>6</v>
      </c>
      <c r="B19" s="14" t="n">
        <v>64</v>
      </c>
      <c r="C19" s="15" t="n">
        <v>9.43</v>
      </c>
      <c r="D19" s="15" t="n">
        <v>4.3</v>
      </c>
      <c r="E19" s="15" t="n">
        <v>22.36</v>
      </c>
      <c r="F19" s="16" t="n">
        <v>0.0006</v>
      </c>
      <c r="G19" s="16" t="n">
        <v>0.0032</v>
      </c>
      <c r="H19" s="16" t="n">
        <v>0.0119</v>
      </c>
      <c r="I19" s="17" t="n">
        <v>4.933</v>
      </c>
      <c r="J19" s="14" t="s">
        <v>38</v>
      </c>
    </row>
    <row r="20" customFormat="false" ht="15" hidden="false" customHeight="false" outlineLevel="0" collapsed="false">
      <c r="A20" s="14" t="s">
        <v>39</v>
      </c>
      <c r="B20" s="14" t="n">
        <v>4</v>
      </c>
      <c r="C20" s="15" t="n">
        <v>0.52</v>
      </c>
      <c r="D20" s="15" t="n">
        <v>0.09</v>
      </c>
      <c r="E20" s="15" t="n">
        <v>0.14</v>
      </c>
      <c r="F20" s="16" t="n">
        <v>0.0013</v>
      </c>
      <c r="G20" s="16" t="n">
        <v>0.0058</v>
      </c>
      <c r="H20" s="16" t="n">
        <v>0.0197</v>
      </c>
      <c r="I20" s="17" t="n">
        <v>0.038</v>
      </c>
      <c r="J20" s="14" t="s">
        <v>36</v>
      </c>
    </row>
    <row r="21" customFormat="false" ht="15" hidden="false" customHeight="false" outlineLevel="0" collapsed="false">
      <c r="A21" s="14" t="s">
        <v>39</v>
      </c>
      <c r="B21" s="14" t="n">
        <v>8</v>
      </c>
      <c r="C21" s="15" t="n">
        <v>0.85</v>
      </c>
      <c r="D21" s="15" t="n">
        <v>0.27</v>
      </c>
      <c r="E21" s="15" t="n">
        <v>0.42</v>
      </c>
      <c r="F21" s="16" t="n">
        <v>0.0012</v>
      </c>
      <c r="G21" s="16" t="n">
        <v>0.0046</v>
      </c>
      <c r="H21" s="16" t="n">
        <v>0.0156</v>
      </c>
      <c r="I21" s="17" t="n">
        <v>0.106</v>
      </c>
      <c r="J21" s="14" t="s">
        <v>36</v>
      </c>
    </row>
    <row r="22" customFormat="false" ht="15" hidden="false" customHeight="false" outlineLevel="0" collapsed="false">
      <c r="A22" s="14" t="s">
        <v>39</v>
      </c>
      <c r="B22" s="14" t="n">
        <v>16</v>
      </c>
      <c r="C22" s="15" t="n">
        <v>2.03</v>
      </c>
      <c r="D22" s="15" t="n">
        <v>0.93</v>
      </c>
      <c r="E22" s="15" t="n">
        <v>1.52</v>
      </c>
      <c r="F22" s="16" t="n">
        <v>0.0011</v>
      </c>
      <c r="G22" s="16" t="n">
        <v>0.0047</v>
      </c>
      <c r="H22" s="16" t="n">
        <v>0.0157</v>
      </c>
      <c r="I22" s="17" t="n">
        <v>0.424</v>
      </c>
      <c r="J22" s="14" t="s">
        <v>36</v>
      </c>
    </row>
    <row r="23" customFormat="false" ht="15" hidden="false" customHeight="false" outlineLevel="0" collapsed="false">
      <c r="A23" s="14" t="s">
        <v>39</v>
      </c>
      <c r="B23" s="14" t="n">
        <v>32</v>
      </c>
      <c r="C23" s="15" t="n">
        <v>7.87</v>
      </c>
      <c r="D23" s="15" t="n">
        <v>3.32</v>
      </c>
      <c r="E23" s="15" t="n">
        <v>5.65</v>
      </c>
      <c r="F23" s="16" t="n">
        <v>0.0012</v>
      </c>
      <c r="G23" s="16" t="n">
        <v>0.0045</v>
      </c>
      <c r="H23" s="16" t="n">
        <v>0.0166</v>
      </c>
      <c r="I23" s="17" t="n">
        <v>1.61</v>
      </c>
      <c r="J23" s="14" t="s">
        <v>36</v>
      </c>
    </row>
    <row r="24" customFormat="false" ht="15" hidden="false" customHeight="false" outlineLevel="0" collapsed="false">
      <c r="A24" s="14" t="s">
        <v>39</v>
      </c>
      <c r="B24" s="14" t="n">
        <v>64</v>
      </c>
      <c r="C24" s="15" t="n">
        <v>29.78</v>
      </c>
      <c r="D24" s="15" t="n">
        <v>13.07</v>
      </c>
      <c r="E24" s="15" t="n">
        <v>22.36</v>
      </c>
      <c r="F24" s="16" t="n">
        <v>0.0011</v>
      </c>
      <c r="G24" s="16" t="n">
        <v>0.0044</v>
      </c>
      <c r="H24" s="16" t="n">
        <v>0.0151</v>
      </c>
      <c r="I24" s="17" t="n">
        <v>8.676</v>
      </c>
      <c r="J24" s="14" t="s">
        <v>36</v>
      </c>
    </row>
    <row r="26" customFormat="false" ht="15" hidden="false" customHeight="false" outlineLevel="0" collapsed="false">
      <c r="A26" s="1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26.85" hidden="false" customHeight="false" outlineLevel="0" collapsed="false">
      <c r="A4" s="5" t="s">
        <v>43</v>
      </c>
      <c r="B4" s="5" t="s">
        <v>2</v>
      </c>
      <c r="C4" s="5" t="s">
        <v>33</v>
      </c>
      <c r="D4" s="5" t="s">
        <v>10</v>
      </c>
      <c r="E4" s="5" t="s">
        <v>44</v>
      </c>
      <c r="F4" s="5" t="s">
        <v>45</v>
      </c>
      <c r="G4" s="5" t="s">
        <v>46</v>
      </c>
    </row>
    <row r="5" customFormat="false" ht="15" hidden="false" customHeight="false" outlineLevel="0" collapsed="false">
      <c r="A5" s="14" t="s">
        <v>47</v>
      </c>
      <c r="B5" s="14" t="n">
        <v>64</v>
      </c>
      <c r="C5" s="14" t="s">
        <v>4</v>
      </c>
      <c r="D5" s="15" t="n">
        <v>236.9</v>
      </c>
      <c r="E5" s="15" t="n">
        <v>7.46</v>
      </c>
      <c r="F5" s="8" t="n">
        <f aca="false">D6/D5</f>
        <v>0.15618404390038</v>
      </c>
      <c r="G5" s="19" t="n">
        <f aca="false">E5/E6</f>
        <v>2.08963585434174</v>
      </c>
    </row>
    <row r="6" customFormat="false" ht="15" hidden="false" customHeight="false" outlineLevel="0" collapsed="false">
      <c r="A6" s="14" t="s">
        <v>47</v>
      </c>
      <c r="B6" s="14" t="n">
        <v>64</v>
      </c>
      <c r="C6" s="14" t="s">
        <v>5</v>
      </c>
      <c r="D6" s="15" t="n">
        <v>37</v>
      </c>
      <c r="E6" s="15" t="n">
        <v>3.57</v>
      </c>
      <c r="F6" s="8" t="n">
        <f aca="false">D6/D6</f>
        <v>1</v>
      </c>
      <c r="G6" s="19" t="n">
        <f aca="false">E6/E6</f>
        <v>1</v>
      </c>
    </row>
    <row r="7" customFormat="false" ht="15" hidden="false" customHeight="false" outlineLevel="0" collapsed="false">
      <c r="A7" s="14" t="s">
        <v>47</v>
      </c>
      <c r="B7" s="14" t="n">
        <v>64</v>
      </c>
      <c r="C7" s="14" t="s">
        <v>6</v>
      </c>
      <c r="D7" s="15" t="n">
        <v>7.9</v>
      </c>
      <c r="E7" s="15" t="n">
        <v>0.95</v>
      </c>
      <c r="F7" s="8" t="n">
        <f aca="false">D6/D7</f>
        <v>4.68354430379747</v>
      </c>
      <c r="G7" s="19" t="n">
        <f aca="false">E7/E6</f>
        <v>0.266106442577031</v>
      </c>
    </row>
    <row r="8" customFormat="false" ht="15" hidden="false" customHeight="false" outlineLevel="0" collapsed="false">
      <c r="A8" s="14" t="s">
        <v>47</v>
      </c>
      <c r="B8" s="14" t="n">
        <v>64</v>
      </c>
      <c r="C8" s="14" t="s">
        <v>7</v>
      </c>
      <c r="D8" s="15" t="n">
        <v>11.2</v>
      </c>
      <c r="E8" s="15" t="n">
        <v>2.6</v>
      </c>
      <c r="F8" s="8" t="n">
        <f aca="false">D6/D8</f>
        <v>3.30357142857143</v>
      </c>
      <c r="G8" s="19" t="n">
        <f aca="false">E8/E6</f>
        <v>0.728291316526611</v>
      </c>
    </row>
    <row r="9" customFormat="false" ht="15" hidden="false" customHeight="false" outlineLevel="0" collapsed="false">
      <c r="A9" s="14" t="s">
        <v>48</v>
      </c>
      <c r="B9" s="14" t="n">
        <v>32</v>
      </c>
      <c r="C9" s="14" t="s">
        <v>4</v>
      </c>
      <c r="D9" s="15" t="n">
        <v>1035.7</v>
      </c>
      <c r="E9" s="15" t="n">
        <v>26.99</v>
      </c>
      <c r="F9" s="8" t="n">
        <f aca="false">D10/D9</f>
        <v>0.223327218306459</v>
      </c>
      <c r="G9" s="19" t="n">
        <f aca="false">E9/E10</f>
        <v>1.82735274204469</v>
      </c>
    </row>
    <row r="10" customFormat="false" ht="15" hidden="false" customHeight="false" outlineLevel="0" collapsed="false">
      <c r="A10" s="14" t="s">
        <v>48</v>
      </c>
      <c r="B10" s="14" t="n">
        <v>32</v>
      </c>
      <c r="C10" s="14" t="s">
        <v>5</v>
      </c>
      <c r="D10" s="15" t="n">
        <v>231.3</v>
      </c>
      <c r="E10" s="15" t="n">
        <v>14.77</v>
      </c>
      <c r="F10" s="8" t="n">
        <f aca="false">D10/D10</f>
        <v>1</v>
      </c>
      <c r="G10" s="19" t="n">
        <f aca="false">E10/E10</f>
        <v>1</v>
      </c>
    </row>
    <row r="11" customFormat="false" ht="15" hidden="false" customHeight="false" outlineLevel="0" collapsed="false">
      <c r="A11" s="14" t="s">
        <v>48</v>
      </c>
      <c r="B11" s="14" t="n">
        <v>32</v>
      </c>
      <c r="C11" s="14" t="s">
        <v>6</v>
      </c>
      <c r="D11" s="15" t="n">
        <v>23.3</v>
      </c>
      <c r="E11" s="15" t="n">
        <v>3.2</v>
      </c>
      <c r="F11" s="8" t="n">
        <f aca="false">D10/D11</f>
        <v>9.92703862660944</v>
      </c>
      <c r="G11" s="19" t="n">
        <f aca="false">E11/E10</f>
        <v>0.21665538253216</v>
      </c>
    </row>
    <row r="12" customFormat="false" ht="15" hidden="false" customHeight="false" outlineLevel="0" collapsed="false">
      <c r="A12" s="14" t="s">
        <v>48</v>
      </c>
      <c r="B12" s="14" t="n">
        <v>32</v>
      </c>
      <c r="C12" s="14" t="s">
        <v>7</v>
      </c>
      <c r="D12" s="15" t="n">
        <v>35.5</v>
      </c>
      <c r="E12" s="15" t="n">
        <v>9.4</v>
      </c>
      <c r="F12" s="8" t="n">
        <f aca="false">D10/D12</f>
        <v>6.51549295774648</v>
      </c>
      <c r="G12" s="19" t="n">
        <f aca="false">E12/E10</f>
        <v>0.636425186188219</v>
      </c>
    </row>
    <row r="14" customFormat="false" ht="15" hidden="false" customHeight="false" outlineLevel="0" collapsed="false">
      <c r="A14" s="1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4" min="4" style="0" width="4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5" t="s">
        <v>52</v>
      </c>
      <c r="B4" s="5" t="s">
        <v>53</v>
      </c>
      <c r="C4" s="5" t="s">
        <v>54</v>
      </c>
      <c r="E4" s="3" t="s">
        <v>55</v>
      </c>
      <c r="F4" s="20" t="n">
        <v>4.5</v>
      </c>
    </row>
    <row r="5" customFormat="false" ht="15" hidden="false" customHeight="false" outlineLevel="0" collapsed="false">
      <c r="A5" s="21" t="s">
        <v>56</v>
      </c>
      <c r="B5" s="15" t="n">
        <v>1.19</v>
      </c>
      <c r="C5" s="21" t="s">
        <v>57</v>
      </c>
    </row>
    <row r="6" customFormat="false" ht="15" hidden="false" customHeight="false" outlineLevel="0" collapsed="false">
      <c r="A6" s="21" t="s">
        <v>58</v>
      </c>
      <c r="B6" s="15" t="n">
        <v>1.37</v>
      </c>
      <c r="C6" s="21" t="s">
        <v>59</v>
      </c>
    </row>
    <row r="7" customFormat="false" ht="15" hidden="false" customHeight="false" outlineLevel="0" collapsed="false">
      <c r="A7" s="21" t="s">
        <v>60</v>
      </c>
      <c r="B7" s="15" t="n">
        <v>2.11</v>
      </c>
      <c r="C7" s="21" t="s">
        <v>61</v>
      </c>
    </row>
    <row r="8" customFormat="false" ht="15" hidden="false" customHeight="false" outlineLevel="0" collapsed="false">
      <c r="A8" s="21" t="s">
        <v>62</v>
      </c>
      <c r="B8" s="15" t="n">
        <v>0.97</v>
      </c>
      <c r="C8" s="21" t="s">
        <v>63</v>
      </c>
    </row>
    <row r="11" customFormat="false" ht="15" hidden="false" customHeight="false" outlineLevel="0" collapsed="false">
      <c r="A11" s="5" t="s">
        <v>64</v>
      </c>
      <c r="B11" s="5" t="s">
        <v>53</v>
      </c>
      <c r="C11" s="5" t="s">
        <v>65</v>
      </c>
    </row>
    <row r="12" customFormat="false" ht="15" hidden="false" customHeight="false" outlineLevel="0" collapsed="false">
      <c r="A12" s="21" t="s">
        <v>66</v>
      </c>
      <c r="B12" s="22" t="n">
        <f aca="false">B5</f>
        <v>1.19</v>
      </c>
      <c r="C12" s="19" t="n">
        <f aca="false">B12/$F$4</f>
        <v>0.264444444444444</v>
      </c>
    </row>
    <row r="13" customFormat="false" ht="15" hidden="false" customHeight="false" outlineLevel="0" collapsed="false">
      <c r="A13" s="21" t="s">
        <v>67</v>
      </c>
      <c r="B13" s="22" t="n">
        <f aca="false">B5+B6</f>
        <v>2.56</v>
      </c>
      <c r="C13" s="19" t="n">
        <f aca="false">B13/$F$4</f>
        <v>0.568888888888889</v>
      </c>
    </row>
    <row r="14" customFormat="false" ht="15" hidden="false" customHeight="false" outlineLevel="0" collapsed="false">
      <c r="A14" s="21" t="s">
        <v>68</v>
      </c>
      <c r="B14" s="22" t="n">
        <f aca="false">B5+B7+B8</f>
        <v>4.27</v>
      </c>
      <c r="C14" s="19" t="n">
        <f aca="false">B14/$F$4</f>
        <v>0.948888888888889</v>
      </c>
    </row>
    <row r="15" customFormat="false" ht="15" hidden="false" customHeight="false" outlineLevel="0" collapsed="false">
      <c r="A15" s="21" t="s">
        <v>69</v>
      </c>
      <c r="B15" s="22" t="n">
        <f aca="false">SUM(B5:B8)</f>
        <v>5.64</v>
      </c>
      <c r="C15" s="19" t="n">
        <f aca="false">B15/$F$4</f>
        <v>1.25333333333333</v>
      </c>
    </row>
    <row r="17" customFormat="false" ht="15" hidden="false" customHeight="false" outlineLevel="0" collapsed="false">
      <c r="A17" s="18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5" t="s">
        <v>73</v>
      </c>
      <c r="B4" s="5" t="s">
        <v>74</v>
      </c>
      <c r="C4" s="5" t="s">
        <v>75</v>
      </c>
    </row>
    <row r="5" customFormat="false" ht="15" hidden="false" customHeight="false" outlineLevel="0" collapsed="false">
      <c r="A5" s="23" t="s">
        <v>76</v>
      </c>
      <c r="B5" s="24" t="s">
        <v>77</v>
      </c>
      <c r="C5" s="24" t="s">
        <v>78</v>
      </c>
    </row>
    <row r="6" customFormat="false" ht="15" hidden="false" customHeight="false" outlineLevel="0" collapsed="false">
      <c r="A6" s="23" t="s">
        <v>76</v>
      </c>
      <c r="B6" s="24" t="s">
        <v>79</v>
      </c>
      <c r="C6" s="24" t="s">
        <v>80</v>
      </c>
    </row>
    <row r="7" customFormat="false" ht="15" hidden="false" customHeight="false" outlineLevel="0" collapsed="false">
      <c r="A7" s="23" t="s">
        <v>76</v>
      </c>
      <c r="B7" s="24" t="s">
        <v>81</v>
      </c>
      <c r="C7" s="24" t="s">
        <v>82</v>
      </c>
    </row>
    <row r="8" customFormat="false" ht="15" hidden="false" customHeight="false" outlineLevel="0" collapsed="false">
      <c r="A8" s="23" t="s">
        <v>76</v>
      </c>
      <c r="B8" s="24" t="s">
        <v>83</v>
      </c>
      <c r="C8" s="24" t="s">
        <v>84</v>
      </c>
    </row>
    <row r="9" customFormat="false" ht="26.85" hidden="false" customHeight="false" outlineLevel="0" collapsed="false">
      <c r="A9" s="23" t="s">
        <v>85</v>
      </c>
      <c r="B9" s="24" t="s">
        <v>60</v>
      </c>
      <c r="C9" s="24" t="s">
        <v>86</v>
      </c>
    </row>
    <row r="10" customFormat="false" ht="15" hidden="false" customHeight="false" outlineLevel="0" collapsed="false">
      <c r="A10" s="23" t="s">
        <v>85</v>
      </c>
      <c r="B10" s="24" t="s">
        <v>87</v>
      </c>
      <c r="C10" s="24" t="s">
        <v>88</v>
      </c>
    </row>
    <row r="11" customFormat="false" ht="15" hidden="false" customHeight="false" outlineLevel="0" collapsed="false">
      <c r="A11" s="23" t="s">
        <v>85</v>
      </c>
      <c r="B11" s="24" t="s">
        <v>89</v>
      </c>
      <c r="C11" s="24" t="s">
        <v>90</v>
      </c>
    </row>
    <row r="12" customFormat="false" ht="15" hidden="false" customHeight="false" outlineLevel="0" collapsed="false">
      <c r="A12" s="23" t="s">
        <v>85</v>
      </c>
      <c r="B12" s="24" t="s">
        <v>91</v>
      </c>
      <c r="C12" s="24" t="s">
        <v>92</v>
      </c>
    </row>
    <row r="13" customFormat="false" ht="15" hidden="false" customHeight="false" outlineLevel="0" collapsed="false">
      <c r="A13" s="23" t="s">
        <v>85</v>
      </c>
      <c r="B13" s="24" t="s">
        <v>93</v>
      </c>
      <c r="C13" s="24" t="s">
        <v>94</v>
      </c>
    </row>
    <row r="14" customFormat="false" ht="15" hidden="false" customHeight="false" outlineLevel="0" collapsed="false">
      <c r="A14" s="23" t="s">
        <v>85</v>
      </c>
      <c r="B14" s="24" t="s">
        <v>95</v>
      </c>
      <c r="C14" s="24" t="s">
        <v>96</v>
      </c>
    </row>
    <row r="15" customFormat="false" ht="15" hidden="false" customHeight="false" outlineLevel="0" collapsed="false">
      <c r="A15" s="23" t="s">
        <v>97</v>
      </c>
      <c r="B15" s="24" t="s">
        <v>98</v>
      </c>
      <c r="C15" s="24" t="s">
        <v>99</v>
      </c>
    </row>
    <row r="16" customFormat="false" ht="26.85" hidden="false" customHeight="false" outlineLevel="0" collapsed="false">
      <c r="A16" s="23" t="s">
        <v>100</v>
      </c>
      <c r="B16" s="24" t="s">
        <v>101</v>
      </c>
      <c r="C16" s="24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2026-10-06T23:59:53Z</dcterms:created>
  <dc:creator>openpyxl</dc:creator>
  <dc:description/>
  <dc:language>en-US</dc:language>
  <cp:lastModifiedBy/>
  <dcterms:modified xsi:type="dcterms:W3CDTF">2026-10-06T23:59:53Z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